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ORGE\MJJSXX\TORNEO\VARIOS\"/>
    </mc:Choice>
  </mc:AlternateContent>
  <xr:revisionPtr revIDLastSave="0" documentId="13_ncr:1_{3CD23DC5-B4DF-4653-A9B6-3C7552B58997}" xr6:coauthVersionLast="47" xr6:coauthVersionMax="47" xr10:uidLastSave="{00000000-0000-0000-0000-000000000000}"/>
  <bookViews>
    <workbookView xWindow="-120" yWindow="-120" windowWidth="24240" windowHeight="13140" xr2:uid="{BF51592B-BBD7-4303-8A2B-19D2D228F76B}"/>
  </bookViews>
  <sheets>
    <sheet name="Hoja1" sheetId="1" r:id="rId1"/>
    <sheet name="Hoj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H16" i="1"/>
  <c r="H17" i="1" l="1"/>
</calcChain>
</file>

<file path=xl/sharedStrings.xml><?xml version="1.0" encoding="utf-8"?>
<sst xmlns="http://schemas.openxmlformats.org/spreadsheetml/2006/main" count="112" uniqueCount="83">
  <si>
    <t>OPCIONES DE REFRIGERIO</t>
  </si>
  <si>
    <t>PREMIOS</t>
  </si>
  <si>
    <t>-</t>
  </si>
  <si>
    <t>EMPANADAS</t>
  </si>
  <si>
    <t xml:space="preserve">HAMBURGUESA </t>
  </si>
  <si>
    <t>PANCHO</t>
  </si>
  <si>
    <t>INGRESO</t>
  </si>
  <si>
    <t>EGRESO</t>
  </si>
  <si>
    <t>ENTRADAS</t>
  </si>
  <si>
    <t>INCRIPCIONES</t>
  </si>
  <si>
    <t>ALQUILER</t>
  </si>
  <si>
    <t>ARBITROS</t>
  </si>
  <si>
    <t>GASEOSAS</t>
  </si>
  <si>
    <t>AUPICIOS</t>
  </si>
  <si>
    <t>TOTAL</t>
  </si>
  <si>
    <t>RENTABILIDAD</t>
  </si>
  <si>
    <t>AGUA</t>
  </si>
  <si>
    <t>DONACION</t>
  </si>
  <si>
    <t>TROFEOS</t>
  </si>
  <si>
    <t>LECHONCITO</t>
  </si>
  <si>
    <t>MODALIDADES DEPORTIVAS - INSCRIPCIONES</t>
  </si>
  <si>
    <t>FUTBOL MASCULINO SENIOR (40 AÑOS O MÁS ) TROFEO</t>
  </si>
  <si>
    <t xml:space="preserve"> PADEL - TROFEO</t>
  </si>
  <si>
    <t>PELOTAS FUTBOL</t>
  </si>
  <si>
    <t>PELOTAS VOLLEY</t>
  </si>
  <si>
    <t>CONSEGUIR</t>
  </si>
  <si>
    <t>EMPANADA</t>
  </si>
  <si>
    <t>AGUA - GASEOSA</t>
  </si>
  <si>
    <t>VOLEY DE ARENA MIXTO - TROFEO</t>
  </si>
  <si>
    <r>
      <rPr>
        <b/>
        <sz val="14"/>
        <color rgb="FF0070C0"/>
        <rFont val="Aptos Narrow"/>
        <family val="2"/>
        <scheme val="minor"/>
      </rPr>
      <t>LOCAL:</t>
    </r>
    <r>
      <rPr>
        <b/>
        <sz val="14"/>
        <color theme="3" tint="0.499984740745262"/>
        <rFont val="Aptos Narrow"/>
        <family val="2"/>
        <scheme val="minor"/>
      </rPr>
      <t xml:space="preserve"> </t>
    </r>
    <r>
      <rPr>
        <b/>
        <sz val="14"/>
        <color theme="1"/>
        <rFont val="Aptos Narrow"/>
        <family val="2"/>
        <scheme val="minor"/>
      </rPr>
      <t>COMPLEJO EL RANCHO</t>
    </r>
  </si>
  <si>
    <r>
      <rPr>
        <b/>
        <sz val="14"/>
        <color rgb="FF0070C0"/>
        <rFont val="Aptos Narrow"/>
        <family val="2"/>
        <scheme val="minor"/>
      </rPr>
      <t>DIRECCION</t>
    </r>
    <r>
      <rPr>
        <b/>
        <sz val="14"/>
        <color rgb="FF00B050"/>
        <rFont val="Aptos Narrow"/>
        <family val="2"/>
        <scheme val="minor"/>
      </rPr>
      <t xml:space="preserve">: </t>
    </r>
    <r>
      <rPr>
        <b/>
        <sz val="14"/>
        <color theme="1"/>
        <rFont val="Aptos Narrow"/>
        <family val="2"/>
        <scheme val="minor"/>
      </rPr>
      <t>KM 9 MONDAY, A 5 CUADRAS DEL NUEVO PALACIO DE JUSTICIA</t>
    </r>
  </si>
  <si>
    <r>
      <rPr>
        <b/>
        <sz val="14"/>
        <color rgb="FF0070C0"/>
        <rFont val="Aptos Narrow"/>
        <family val="2"/>
        <scheme val="minor"/>
      </rPr>
      <t>PAGINA EN EL FACEBOOK</t>
    </r>
    <r>
      <rPr>
        <b/>
        <sz val="14"/>
        <color rgb="FF00B050"/>
        <rFont val="Aptos Narrow"/>
        <family val="2"/>
        <scheme val="minor"/>
      </rPr>
      <t xml:space="preserve">: </t>
    </r>
    <r>
      <rPr>
        <b/>
        <sz val="14"/>
        <color theme="1"/>
        <rFont val="Aptos Narrow"/>
        <family val="2"/>
        <scheme val="minor"/>
      </rPr>
      <t>COMPLEJO EL RANCHO</t>
    </r>
  </si>
  <si>
    <r>
      <rPr>
        <b/>
        <sz val="14"/>
        <color rgb="FF0070C0"/>
        <rFont val="Aptos Narrow"/>
        <family val="2"/>
        <scheme val="minor"/>
      </rPr>
      <t>HORARIO DE INICIO</t>
    </r>
    <r>
      <rPr>
        <b/>
        <sz val="14"/>
        <color theme="3" tint="0.499984740745262"/>
        <rFont val="Aptos Narrow"/>
        <family val="2"/>
        <scheme val="minor"/>
      </rPr>
      <t xml:space="preserve">: </t>
    </r>
    <r>
      <rPr>
        <b/>
        <sz val="14"/>
        <color theme="1"/>
        <rFont val="Aptos Narrow"/>
        <family val="2"/>
        <scheme val="minor"/>
      </rPr>
      <t>7:30:00</t>
    </r>
  </si>
  <si>
    <r>
      <t xml:space="preserve">FUTBOL MASCULINO  LIBRE - </t>
    </r>
    <r>
      <rPr>
        <b/>
        <sz val="13"/>
        <color theme="5" tint="-0.249977111117893"/>
        <rFont val="Aptos Narrow"/>
        <family val="2"/>
        <scheme val="minor"/>
      </rPr>
      <t>GS. 250.000</t>
    </r>
  </si>
  <si>
    <r>
      <t xml:space="preserve">FUTBOL MASCULINO SENIOR (40 AÑOS O MÁS ) </t>
    </r>
    <r>
      <rPr>
        <b/>
        <sz val="13"/>
        <color theme="5" tint="-0.249977111117893"/>
        <rFont val="Aptos Narrow"/>
        <family val="2"/>
        <scheme val="minor"/>
      </rPr>
      <t>GS. 250.000</t>
    </r>
  </si>
  <si>
    <r>
      <t xml:space="preserve">VOLEY DE ARENA MIXTO - </t>
    </r>
    <r>
      <rPr>
        <b/>
        <sz val="13"/>
        <color theme="5" tint="-0.249977111117893"/>
        <rFont val="Aptos Narrow"/>
        <family val="2"/>
        <scheme val="minor"/>
      </rPr>
      <t>GS. 120.000</t>
    </r>
  </si>
  <si>
    <r>
      <t xml:space="preserve"> PADEL  - </t>
    </r>
    <r>
      <rPr>
        <b/>
        <sz val="13"/>
        <color theme="5" tint="-0.249977111117893"/>
        <rFont val="Aptos Narrow"/>
        <family val="2"/>
        <scheme val="minor"/>
      </rPr>
      <t>GS. 50.000</t>
    </r>
  </si>
  <si>
    <t>MOVIMIENTO DE JORNADAS JUVENTUD SIGLO XX</t>
  </si>
  <si>
    <t>TORNEO DE INTEGRACIÓN AÑO 2024</t>
  </si>
  <si>
    <r>
      <t xml:space="preserve">FECHA: </t>
    </r>
    <r>
      <rPr>
        <b/>
        <sz val="14"/>
        <color theme="1"/>
        <rFont val="Aptos Narrow"/>
        <family val="2"/>
        <scheme val="minor"/>
      </rPr>
      <t>09/06/2024</t>
    </r>
  </si>
  <si>
    <r>
      <t xml:space="preserve">DIA: </t>
    </r>
    <r>
      <rPr>
        <b/>
        <sz val="14"/>
        <color theme="1"/>
        <rFont val="Aptos Narrow"/>
        <family val="2"/>
        <scheme val="minor"/>
      </rPr>
      <t>DOMINGO</t>
    </r>
  </si>
  <si>
    <t>DETALLES DEL LOCAL Y OTROS</t>
  </si>
  <si>
    <t>ASADITO</t>
  </si>
  <si>
    <t>FUTBOL MASCULINO  LIBRE: OVEJA 20 KG</t>
  </si>
  <si>
    <t>CONTACTOS:</t>
  </si>
  <si>
    <t>JORGE ALLENDE 0973 449615</t>
  </si>
  <si>
    <t>GASPAR GAMARRA 0973 526085</t>
  </si>
  <si>
    <t>FERNANDO MENDOZA 0992 714157</t>
  </si>
  <si>
    <t>CAJA</t>
  </si>
  <si>
    <t xml:space="preserve">PREPARAR Y ENTREGAR </t>
  </si>
  <si>
    <t xml:space="preserve">COCINAR  </t>
  </si>
  <si>
    <t>HAMBURGUESA</t>
  </si>
  <si>
    <t>COMIDAS</t>
  </si>
  <si>
    <t>BEBIDAS</t>
  </si>
  <si>
    <t>MIGUELA LOPEZ</t>
  </si>
  <si>
    <t>DIEGO VILLAR</t>
  </si>
  <si>
    <t>LUIS OJEDA</t>
  </si>
  <si>
    <t>EDGAR RUIZ</t>
  </si>
  <si>
    <t>FATIMA SILVA</t>
  </si>
  <si>
    <t>ANGELICA RAMONA MASSI</t>
  </si>
  <si>
    <t>INGRID ACUÑA</t>
  </si>
  <si>
    <t>KAREN ACOSTA</t>
  </si>
  <si>
    <t>LORENA GAUTO</t>
  </si>
  <si>
    <t>RENATO FERNANDEZ</t>
  </si>
  <si>
    <t>AMADO BARRIOS</t>
  </si>
  <si>
    <t>DEISY COLMAN</t>
  </si>
  <si>
    <t>FERNANDO MENDOZA</t>
  </si>
  <si>
    <t>GASPAR GAMARRA</t>
  </si>
  <si>
    <t>CYNTHIA DUARTE</t>
  </si>
  <si>
    <t>ENCARGADO DE PADEL</t>
  </si>
  <si>
    <t>ENCARGADO DE FUTBOL</t>
  </si>
  <si>
    <t>FIXTURE DE PARTIDOS</t>
  </si>
  <si>
    <t>FIXTURE DE PARTIDOS Y HORARIOS</t>
  </si>
  <si>
    <t>CONTROL Y LLENADO DE LISTA DE BUENA FE (TARJETAS, GOL Y OTROS)</t>
  </si>
  <si>
    <t>COBRAR ENTRADA</t>
  </si>
  <si>
    <t>INVENTARIO, LOGISTICA Y ENTREGA</t>
  </si>
  <si>
    <t>ORGANIZACIÓN GRAL DE LA MODALIDAD</t>
  </si>
  <si>
    <t>CONTROL Y LLENADO DE LISTA DE BUENA FE Y OTROS</t>
  </si>
  <si>
    <t>TORNEO DE INTREGRACIÓN 2024 - MJJSXX</t>
  </si>
  <si>
    <t>DISTRIBUCIÓN DE FUNCIONES</t>
  </si>
  <si>
    <t>CONVOCATORIA: 07:00 HS</t>
  </si>
  <si>
    <t>HORARIO INICIO DEL TORNEO: 08:00 HS.</t>
  </si>
  <si>
    <t>LOS TRABAJOS SERAN EN CONJUNTO CON EL PLANTEL COCINA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</si>
</sst>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9"/>
      <color rgb="FF0070C0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3"/>
      <color theme="5" tint="-0.249977111117893"/>
      <name val="Aptos Narrow"/>
      <family val="2"/>
      <scheme val="minor"/>
    </font>
    <font>
      <b/>
      <sz val="17"/>
      <color rgb="FF0070C0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Bierstadt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/>
    <xf numFmtId="18" fontId="0" fillId="0" borderId="0" xfId="0" applyNumberFormat="1" applyAlignment="1">
      <alignment horizontal="left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9" xfId="0" applyFont="1" applyBorder="1"/>
    <xf numFmtId="0" fontId="7" fillId="0" borderId="9" xfId="0" applyFont="1" applyBorder="1"/>
    <xf numFmtId="0" fontId="5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7" fillId="0" borderId="10" xfId="0" applyFont="1" applyBorder="1"/>
    <xf numFmtId="0" fontId="5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8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4" borderId="1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/>
    </xf>
    <xf numFmtId="0" fontId="13" fillId="2" borderId="0" xfId="0" applyFont="1" applyFill="1"/>
    <xf numFmtId="0" fontId="14" fillId="0" borderId="9" xfId="0" applyFont="1" applyBorder="1"/>
    <xf numFmtId="0" fontId="14" fillId="0" borderId="6" xfId="0" applyFont="1" applyBorder="1" applyAlignment="1">
      <alignment horizontal="center"/>
    </xf>
    <xf numFmtId="0" fontId="14" fillId="0" borderId="0" xfId="0" applyFont="1"/>
    <xf numFmtId="0" fontId="13" fillId="5" borderId="0" xfId="0" applyFont="1" applyFill="1"/>
    <xf numFmtId="0" fontId="14" fillId="0" borderId="0" xfId="0" applyFont="1" applyAlignment="1">
      <alignment vertical="center" wrapText="1"/>
    </xf>
    <xf numFmtId="0" fontId="14" fillId="0" borderId="9" xfId="0" applyFont="1" applyBorder="1" applyAlignment="1">
      <alignment vertical="center"/>
    </xf>
    <xf numFmtId="0" fontId="14" fillId="0" borderId="6" xfId="0" applyFont="1" applyBorder="1"/>
    <xf numFmtId="0" fontId="14" fillId="0" borderId="7" xfId="0" applyFont="1" applyBorder="1"/>
    <xf numFmtId="0" fontId="14" fillId="0" borderId="12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61910</xdr:rowOff>
    </xdr:from>
    <xdr:to>
      <xdr:col>2</xdr:col>
      <xdr:colOff>647700</xdr:colOff>
      <xdr:row>3</xdr:row>
      <xdr:rowOff>171758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2BDF9E04-37A7-447D-BAFF-7E597612D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61910"/>
          <a:ext cx="1019176" cy="700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0B08-E731-423D-8CD3-231DA95CBB2C}">
  <dimension ref="B1:J43"/>
  <sheetViews>
    <sheetView showGridLines="0" tabSelected="1" workbookViewId="0">
      <selection activeCell="H17" sqref="H17"/>
    </sheetView>
  </sheetViews>
  <sheetFormatPr baseColWidth="10" defaultRowHeight="15" x14ac:dyDescent="0.25"/>
  <cols>
    <col min="1" max="1" width="2.5703125" customWidth="1"/>
    <col min="2" max="2" width="5.5703125" style="2" customWidth="1"/>
    <col min="3" max="3" width="86.42578125" customWidth="1"/>
    <col min="4" max="4" width="1.85546875" customWidth="1"/>
    <col min="7" max="7" width="14.85546875" customWidth="1"/>
    <col min="8" max="8" width="14.85546875" style="3" customWidth="1"/>
    <col min="9" max="9" width="15.28515625" customWidth="1"/>
    <col min="10" max="10" width="15.28515625" style="3" customWidth="1"/>
  </cols>
  <sheetData>
    <row r="1" spans="2:10" ht="12.75" customHeight="1" x14ac:dyDescent="0.25"/>
    <row r="3" spans="2:10" ht="18.75" customHeight="1" x14ac:dyDescent="0.25">
      <c r="G3" s="50" t="s">
        <v>6</v>
      </c>
      <c r="H3" s="50"/>
      <c r="I3" s="51" t="s">
        <v>7</v>
      </c>
      <c r="J3" s="51"/>
    </row>
    <row r="4" spans="2:10" x14ac:dyDescent="0.25">
      <c r="G4" s="10" t="s">
        <v>8</v>
      </c>
      <c r="H4" s="11">
        <v>650000</v>
      </c>
      <c r="I4" s="10" t="s">
        <v>10</v>
      </c>
      <c r="J4" s="6">
        <v>500000</v>
      </c>
    </row>
    <row r="5" spans="2:10" ht="33.75" customHeight="1" x14ac:dyDescent="0.25">
      <c r="B5" s="53" t="s">
        <v>37</v>
      </c>
      <c r="C5" s="53"/>
      <c r="G5" s="10" t="s">
        <v>9</v>
      </c>
      <c r="H5" s="11">
        <v>3500000</v>
      </c>
      <c r="I5" s="10" t="s">
        <v>23</v>
      </c>
      <c r="J5" s="6" t="s">
        <v>17</v>
      </c>
    </row>
    <row r="6" spans="2:10" ht="24" customHeight="1" x14ac:dyDescent="0.25">
      <c r="B6" s="52" t="s">
        <v>38</v>
      </c>
      <c r="C6" s="52"/>
      <c r="G6" s="10" t="s">
        <v>13</v>
      </c>
      <c r="H6" s="11">
        <v>0</v>
      </c>
      <c r="I6" s="10" t="s">
        <v>24</v>
      </c>
      <c r="J6" s="6" t="s">
        <v>25</v>
      </c>
    </row>
    <row r="7" spans="2:10" ht="19.5" customHeight="1" x14ac:dyDescent="0.3">
      <c r="B7" s="22">
        <v>1</v>
      </c>
      <c r="C7" s="24" t="s">
        <v>41</v>
      </c>
      <c r="D7" s="4"/>
      <c r="G7" s="5"/>
      <c r="H7" s="6"/>
      <c r="I7" s="5" t="s">
        <v>19</v>
      </c>
      <c r="J7" s="6" t="s">
        <v>17</v>
      </c>
    </row>
    <row r="8" spans="2:10" ht="17.100000000000001" customHeight="1" x14ac:dyDescent="0.3">
      <c r="B8" s="22"/>
      <c r="C8" s="20"/>
      <c r="G8" s="5"/>
      <c r="H8" s="6"/>
      <c r="I8" s="5" t="s">
        <v>18</v>
      </c>
      <c r="J8" s="6" t="s">
        <v>17</v>
      </c>
    </row>
    <row r="9" spans="2:10" ht="17.100000000000001" customHeight="1" x14ac:dyDescent="0.3">
      <c r="B9" s="23"/>
      <c r="C9" s="15" t="s">
        <v>29</v>
      </c>
      <c r="I9" s="5" t="s">
        <v>11</v>
      </c>
      <c r="J9" s="6">
        <v>500000</v>
      </c>
    </row>
    <row r="10" spans="2:10" ht="17.100000000000001" customHeight="1" x14ac:dyDescent="0.3">
      <c r="B10" s="23"/>
      <c r="C10" s="14" t="s">
        <v>40</v>
      </c>
      <c r="G10" s="5" t="s">
        <v>12</v>
      </c>
      <c r="H10" s="6">
        <v>1250000</v>
      </c>
      <c r="I10" s="5" t="s">
        <v>12</v>
      </c>
      <c r="J10" s="6">
        <v>350000</v>
      </c>
    </row>
    <row r="11" spans="2:10" ht="17.100000000000001" customHeight="1" x14ac:dyDescent="0.3">
      <c r="B11" s="23"/>
      <c r="C11" s="14" t="s">
        <v>39</v>
      </c>
      <c r="G11" s="5" t="s">
        <v>16</v>
      </c>
      <c r="H11" s="6">
        <v>500000</v>
      </c>
      <c r="I11" s="5" t="s">
        <v>16</v>
      </c>
      <c r="J11" s="6">
        <v>200000</v>
      </c>
    </row>
    <row r="12" spans="2:10" ht="17.100000000000001" customHeight="1" x14ac:dyDescent="0.3">
      <c r="B12" s="23"/>
      <c r="C12" s="15" t="s">
        <v>30</v>
      </c>
      <c r="G12" s="5" t="s">
        <v>3</v>
      </c>
      <c r="H12" s="6">
        <v>1000000</v>
      </c>
      <c r="I12" s="5" t="s">
        <v>3</v>
      </c>
      <c r="J12" s="6">
        <v>300000</v>
      </c>
    </row>
    <row r="13" spans="2:10" ht="17.100000000000001" customHeight="1" x14ac:dyDescent="0.3">
      <c r="B13" s="23"/>
      <c r="C13" s="15" t="s">
        <v>32</v>
      </c>
      <c r="G13" s="5" t="s">
        <v>4</v>
      </c>
      <c r="H13" s="6">
        <v>2000000</v>
      </c>
      <c r="I13" s="5" t="s">
        <v>4</v>
      </c>
      <c r="J13" s="6">
        <v>750000</v>
      </c>
    </row>
    <row r="14" spans="2:10" ht="17.100000000000001" customHeight="1" x14ac:dyDescent="0.3">
      <c r="B14" s="23"/>
      <c r="C14" s="15" t="s">
        <v>31</v>
      </c>
      <c r="D14" s="1"/>
      <c r="G14" s="5"/>
      <c r="H14" s="6"/>
      <c r="I14" s="5"/>
      <c r="J14" s="6"/>
    </row>
    <row r="15" spans="2:10" ht="17.100000000000001" customHeight="1" x14ac:dyDescent="0.3">
      <c r="B15" s="13"/>
      <c r="C15" s="19"/>
      <c r="D15" s="1"/>
      <c r="G15" s="5"/>
      <c r="H15" s="6"/>
      <c r="I15" s="5"/>
      <c r="J15" s="6"/>
    </row>
    <row r="16" spans="2:10" ht="18.75" customHeight="1" x14ac:dyDescent="0.3">
      <c r="B16" s="21">
        <v>2</v>
      </c>
      <c r="C16" s="25" t="s">
        <v>20</v>
      </c>
      <c r="D16" s="1"/>
      <c r="G16" s="7" t="s">
        <v>14</v>
      </c>
      <c r="H16" s="6">
        <f>SUM(H4:H15)</f>
        <v>8900000</v>
      </c>
      <c r="I16" s="7" t="s">
        <v>14</v>
      </c>
      <c r="J16" s="6">
        <f>SUM(J4:J15)</f>
        <v>2600000</v>
      </c>
    </row>
    <row r="17" spans="2:10" ht="17.100000000000001" customHeight="1" x14ac:dyDescent="0.3">
      <c r="B17" s="12"/>
      <c r="C17" s="16"/>
      <c r="D17" s="1"/>
      <c r="G17" s="9" t="s">
        <v>15</v>
      </c>
      <c r="H17" s="8">
        <f>++H16-J16</f>
        <v>6300000</v>
      </c>
      <c r="I17" s="5"/>
      <c r="J17" s="6"/>
    </row>
    <row r="18" spans="2:10" ht="17.100000000000001" customHeight="1" x14ac:dyDescent="0.3">
      <c r="B18" s="12" t="s">
        <v>2</v>
      </c>
      <c r="C18" s="17" t="s">
        <v>33</v>
      </c>
    </row>
    <row r="19" spans="2:10" ht="17.100000000000001" customHeight="1" x14ac:dyDescent="0.3">
      <c r="B19" s="12" t="s">
        <v>2</v>
      </c>
      <c r="C19" s="17" t="s">
        <v>34</v>
      </c>
      <c r="D19" s="3"/>
    </row>
    <row r="20" spans="2:10" ht="17.100000000000001" customHeight="1" x14ac:dyDescent="0.3">
      <c r="B20" s="12" t="s">
        <v>2</v>
      </c>
      <c r="C20" s="17" t="s">
        <v>35</v>
      </c>
      <c r="D20" s="3"/>
    </row>
    <row r="21" spans="2:10" ht="17.100000000000001" customHeight="1" x14ac:dyDescent="0.3">
      <c r="B21" s="12" t="s">
        <v>2</v>
      </c>
      <c r="C21" s="17" t="s">
        <v>36</v>
      </c>
      <c r="D21" s="3"/>
    </row>
    <row r="22" spans="2:10" ht="17.100000000000001" customHeight="1" x14ac:dyDescent="0.3">
      <c r="B22" s="12"/>
      <c r="C22" s="17"/>
      <c r="D22" s="3"/>
      <c r="H22"/>
      <c r="J22"/>
    </row>
    <row r="23" spans="2:10" ht="21" customHeight="1" x14ac:dyDescent="0.3">
      <c r="B23" s="26">
        <v>3</v>
      </c>
      <c r="C23" s="25" t="s">
        <v>1</v>
      </c>
      <c r="D23" s="3"/>
      <c r="H23"/>
      <c r="J23"/>
    </row>
    <row r="24" spans="2:10" ht="17.100000000000001" customHeight="1" x14ac:dyDescent="0.3">
      <c r="B24" s="12"/>
      <c r="C24" s="16"/>
      <c r="D24" s="3"/>
      <c r="H24"/>
      <c r="J24"/>
    </row>
    <row r="25" spans="2:10" ht="17.100000000000001" customHeight="1" x14ac:dyDescent="0.3">
      <c r="B25" s="12" t="s">
        <v>2</v>
      </c>
      <c r="C25" s="17" t="s">
        <v>43</v>
      </c>
      <c r="H25"/>
      <c r="J25"/>
    </row>
    <row r="26" spans="2:10" ht="17.100000000000001" customHeight="1" x14ac:dyDescent="0.3">
      <c r="B26" s="12" t="s">
        <v>2</v>
      </c>
      <c r="C26" s="17" t="s">
        <v>21</v>
      </c>
      <c r="H26"/>
      <c r="J26"/>
    </row>
    <row r="27" spans="2:10" ht="17.100000000000001" customHeight="1" x14ac:dyDescent="0.3">
      <c r="B27" s="12" t="s">
        <v>2</v>
      </c>
      <c r="C27" s="17" t="s">
        <v>28</v>
      </c>
      <c r="H27"/>
      <c r="J27"/>
    </row>
    <row r="28" spans="2:10" ht="17.25" x14ac:dyDescent="0.3">
      <c r="B28" s="12" t="s">
        <v>2</v>
      </c>
      <c r="C28" s="17" t="s">
        <v>22</v>
      </c>
      <c r="H28"/>
      <c r="J28"/>
    </row>
    <row r="29" spans="2:10" ht="17.25" x14ac:dyDescent="0.3">
      <c r="B29" s="12"/>
      <c r="C29" s="17"/>
      <c r="H29"/>
      <c r="J29"/>
    </row>
    <row r="30" spans="2:10" ht="22.5" customHeight="1" x14ac:dyDescent="0.3">
      <c r="B30" s="26">
        <v>4</v>
      </c>
      <c r="C30" s="25" t="s">
        <v>0</v>
      </c>
      <c r="H30"/>
      <c r="J30"/>
    </row>
    <row r="31" spans="2:10" ht="18.75" x14ac:dyDescent="0.3">
      <c r="B31" s="12"/>
      <c r="C31" s="16"/>
      <c r="H31"/>
      <c r="J31"/>
    </row>
    <row r="32" spans="2:10" ht="17.25" x14ac:dyDescent="0.3">
      <c r="B32" s="12" t="s">
        <v>2</v>
      </c>
      <c r="C32" s="17" t="s">
        <v>26</v>
      </c>
    </row>
    <row r="33" spans="2:3" ht="17.25" x14ac:dyDescent="0.3">
      <c r="B33" s="12" t="s">
        <v>2</v>
      </c>
      <c r="C33" s="17" t="s">
        <v>4</v>
      </c>
    </row>
    <row r="34" spans="2:3" ht="17.25" x14ac:dyDescent="0.3">
      <c r="B34" s="12" t="s">
        <v>2</v>
      </c>
      <c r="C34" s="17" t="s">
        <v>42</v>
      </c>
    </row>
    <row r="35" spans="2:3" ht="17.25" x14ac:dyDescent="0.3">
      <c r="B35" s="12" t="s">
        <v>2</v>
      </c>
      <c r="C35" s="17" t="s">
        <v>5</v>
      </c>
    </row>
    <row r="36" spans="2:3" ht="17.25" x14ac:dyDescent="0.3">
      <c r="B36" s="12" t="s">
        <v>2</v>
      </c>
      <c r="C36" s="17" t="s">
        <v>27</v>
      </c>
    </row>
    <row r="37" spans="2:3" ht="17.25" x14ac:dyDescent="0.3">
      <c r="B37" s="13"/>
      <c r="C37" s="18"/>
    </row>
    <row r="38" spans="2:3" ht="8.25" customHeight="1" x14ac:dyDescent="0.25"/>
    <row r="39" spans="2:3" x14ac:dyDescent="0.25">
      <c r="B39" s="27" t="s">
        <v>44</v>
      </c>
    </row>
    <row r="40" spans="2:3" x14ac:dyDescent="0.25">
      <c r="B40" s="28" t="s">
        <v>45</v>
      </c>
    </row>
    <row r="41" spans="2:3" x14ac:dyDescent="0.25">
      <c r="B41" s="28" t="s">
        <v>47</v>
      </c>
    </row>
    <row r="42" spans="2:3" x14ac:dyDescent="0.25">
      <c r="B42" s="28" t="s">
        <v>46</v>
      </c>
    </row>
    <row r="43" spans="2:3" ht="6.75" customHeight="1" x14ac:dyDescent="0.25"/>
  </sheetData>
  <mergeCells count="4">
    <mergeCell ref="G3:H3"/>
    <mergeCell ref="I3:J3"/>
    <mergeCell ref="B6:C6"/>
    <mergeCell ref="B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5F0F-A256-45DE-BF92-0D092480A6D1}">
  <dimension ref="B1:D33"/>
  <sheetViews>
    <sheetView showGridLines="0" workbookViewId="0">
      <selection activeCell="G14" sqref="G14"/>
    </sheetView>
  </sheetViews>
  <sheetFormatPr baseColWidth="10" defaultRowHeight="15" x14ac:dyDescent="0.25"/>
  <cols>
    <col min="1" max="1" width="1.7109375" customWidth="1"/>
    <col min="2" max="2" width="3" style="2" customWidth="1"/>
    <col min="3" max="3" width="37.140625" customWidth="1"/>
    <col min="4" max="4" width="24.85546875" customWidth="1"/>
    <col min="5" max="6" width="2.28515625" customWidth="1"/>
  </cols>
  <sheetData>
    <row r="1" spans="2:4" ht="8.25" customHeight="1" x14ac:dyDescent="0.25"/>
    <row r="2" spans="2:4" ht="6" customHeight="1" x14ac:dyDescent="0.25"/>
    <row r="3" spans="2:4" ht="20.25" customHeight="1" x14ac:dyDescent="0.25">
      <c r="B3" s="47" t="s">
        <v>78</v>
      </c>
      <c r="C3" s="48"/>
      <c r="D3" s="49"/>
    </row>
    <row r="4" spans="2:4" ht="21.75" customHeight="1" x14ac:dyDescent="0.25">
      <c r="B4" s="29"/>
      <c r="C4" s="45" t="s">
        <v>79</v>
      </c>
      <c r="D4" s="46"/>
    </row>
    <row r="5" spans="2:4" x14ac:dyDescent="0.25">
      <c r="B5" s="30">
        <v>1</v>
      </c>
      <c r="C5" s="31" t="s">
        <v>74</v>
      </c>
      <c r="D5" s="32" t="s">
        <v>65</v>
      </c>
    </row>
    <row r="6" spans="2:4" x14ac:dyDescent="0.25">
      <c r="B6" s="30">
        <v>2</v>
      </c>
      <c r="C6" s="31" t="s">
        <v>48</v>
      </c>
      <c r="D6" s="32" t="s">
        <v>58</v>
      </c>
    </row>
    <row r="7" spans="2:4" x14ac:dyDescent="0.25">
      <c r="B7" s="33"/>
      <c r="C7" s="34"/>
      <c r="D7" s="32"/>
    </row>
    <row r="8" spans="2:4" x14ac:dyDescent="0.25">
      <c r="B8" s="30">
        <v>3</v>
      </c>
      <c r="C8" s="31" t="s">
        <v>52</v>
      </c>
      <c r="D8" s="32"/>
    </row>
    <row r="9" spans="2:4" x14ac:dyDescent="0.25">
      <c r="B9" s="33"/>
      <c r="C9" s="35" t="s">
        <v>51</v>
      </c>
      <c r="D9" s="32"/>
    </row>
    <row r="10" spans="2:4" x14ac:dyDescent="0.25">
      <c r="B10" s="33"/>
      <c r="C10" s="34" t="s">
        <v>50</v>
      </c>
      <c r="D10" s="32" t="s">
        <v>64</v>
      </c>
    </row>
    <row r="11" spans="2:4" x14ac:dyDescent="0.25">
      <c r="B11" s="33"/>
      <c r="C11" s="34" t="s">
        <v>49</v>
      </c>
      <c r="D11" s="32" t="s">
        <v>62</v>
      </c>
    </row>
    <row r="12" spans="2:4" x14ac:dyDescent="0.25">
      <c r="B12" s="33"/>
      <c r="C12" s="34" t="s">
        <v>49</v>
      </c>
      <c r="D12" s="32" t="s">
        <v>57</v>
      </c>
    </row>
    <row r="13" spans="2:4" x14ac:dyDescent="0.25">
      <c r="B13" s="33"/>
      <c r="C13" s="35" t="s">
        <v>42</v>
      </c>
      <c r="D13" s="32"/>
    </row>
    <row r="14" spans="2:4" x14ac:dyDescent="0.25">
      <c r="B14" s="33"/>
      <c r="C14" s="34" t="s">
        <v>50</v>
      </c>
      <c r="D14" s="32" t="s">
        <v>56</v>
      </c>
    </row>
    <row r="15" spans="2:4" x14ac:dyDescent="0.25">
      <c r="B15" s="33"/>
      <c r="C15" s="34" t="s">
        <v>49</v>
      </c>
      <c r="D15" s="32" t="s">
        <v>68</v>
      </c>
    </row>
    <row r="16" spans="2:4" x14ac:dyDescent="0.25">
      <c r="B16" s="33"/>
      <c r="C16" s="34" t="s">
        <v>49</v>
      </c>
      <c r="D16" s="32" t="s">
        <v>61</v>
      </c>
    </row>
    <row r="17" spans="2:4" x14ac:dyDescent="0.25">
      <c r="B17" s="33"/>
      <c r="C17" s="35" t="s">
        <v>26</v>
      </c>
      <c r="D17" s="32"/>
    </row>
    <row r="18" spans="2:4" x14ac:dyDescent="0.25">
      <c r="B18" s="33"/>
      <c r="C18" s="34" t="s">
        <v>50</v>
      </c>
      <c r="D18" s="32" t="s">
        <v>59</v>
      </c>
    </row>
    <row r="19" spans="2:4" x14ac:dyDescent="0.25">
      <c r="B19" s="33"/>
      <c r="C19" s="34" t="s">
        <v>49</v>
      </c>
      <c r="D19" s="32" t="s">
        <v>60</v>
      </c>
    </row>
    <row r="20" spans="2:4" x14ac:dyDescent="0.25">
      <c r="B20" s="30">
        <v>4</v>
      </c>
      <c r="C20" s="31" t="s">
        <v>53</v>
      </c>
      <c r="D20" s="32"/>
    </row>
    <row r="21" spans="2:4" ht="33.75" customHeight="1" x14ac:dyDescent="0.25">
      <c r="B21" s="33"/>
      <c r="C21" s="36" t="s">
        <v>75</v>
      </c>
      <c r="D21" s="37" t="s">
        <v>63</v>
      </c>
    </row>
    <row r="22" spans="2:4" ht="33.75" customHeight="1" x14ac:dyDescent="0.25">
      <c r="B22" s="33"/>
      <c r="C22" s="36" t="s">
        <v>75</v>
      </c>
      <c r="D22" s="37" t="s">
        <v>54</v>
      </c>
    </row>
    <row r="23" spans="2:4" ht="17.25" customHeight="1" x14ac:dyDescent="0.25">
      <c r="B23" s="30">
        <v>5</v>
      </c>
      <c r="C23" s="31" t="s">
        <v>70</v>
      </c>
      <c r="D23" s="32"/>
    </row>
    <row r="24" spans="2:4" x14ac:dyDescent="0.25">
      <c r="B24" s="38"/>
      <c r="C24" s="34" t="s">
        <v>76</v>
      </c>
      <c r="D24" s="43" t="s">
        <v>67</v>
      </c>
    </row>
    <row r="25" spans="2:4" x14ac:dyDescent="0.25">
      <c r="B25" s="38"/>
      <c r="C25" s="34" t="s">
        <v>72</v>
      </c>
      <c r="D25" s="43"/>
    </row>
    <row r="26" spans="2:4" ht="30" x14ac:dyDescent="0.25">
      <c r="B26" s="38"/>
      <c r="C26" s="36" t="s">
        <v>73</v>
      </c>
      <c r="D26" s="37" t="s">
        <v>55</v>
      </c>
    </row>
    <row r="27" spans="2:4" x14ac:dyDescent="0.25">
      <c r="B27" s="30">
        <v>6</v>
      </c>
      <c r="C27" s="31" t="s">
        <v>69</v>
      </c>
      <c r="D27" s="32"/>
    </row>
    <row r="28" spans="2:4" x14ac:dyDescent="0.25">
      <c r="B28" s="38"/>
      <c r="C28" s="34" t="s">
        <v>71</v>
      </c>
      <c r="D28" s="43" t="s">
        <v>66</v>
      </c>
    </row>
    <row r="29" spans="2:4" ht="30" x14ac:dyDescent="0.25">
      <c r="B29" s="39"/>
      <c r="C29" s="40" t="s">
        <v>77</v>
      </c>
      <c r="D29" s="44"/>
    </row>
    <row r="30" spans="2:4" ht="8.25" customHeight="1" x14ac:dyDescent="0.25">
      <c r="B30" s="41"/>
      <c r="C30" s="34"/>
      <c r="D30" s="34"/>
    </row>
    <row r="31" spans="2:4" x14ac:dyDescent="0.25">
      <c r="B31" s="42" t="s">
        <v>82</v>
      </c>
      <c r="C31" s="34"/>
      <c r="D31" s="34"/>
    </row>
    <row r="32" spans="2:4" x14ac:dyDescent="0.25">
      <c r="B32" s="42" t="s">
        <v>80</v>
      </c>
      <c r="C32" s="34"/>
      <c r="D32" s="34"/>
    </row>
    <row r="33" spans="2:3" x14ac:dyDescent="0.25">
      <c r="B33" s="42" t="s">
        <v>81</v>
      </c>
      <c r="C33" s="34"/>
    </row>
  </sheetData>
  <mergeCells count="4">
    <mergeCell ref="D28:D29"/>
    <mergeCell ref="C4:D4"/>
    <mergeCell ref="B3:D3"/>
    <mergeCell ref="D24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Allende</dc:creator>
  <cp:lastModifiedBy>Jorge Allende</cp:lastModifiedBy>
  <cp:lastPrinted>2024-05-27T22:29:43Z</cp:lastPrinted>
  <dcterms:created xsi:type="dcterms:W3CDTF">2024-05-13T12:55:24Z</dcterms:created>
  <dcterms:modified xsi:type="dcterms:W3CDTF">2026-04-20T19:17:05Z</dcterms:modified>
</cp:coreProperties>
</file>